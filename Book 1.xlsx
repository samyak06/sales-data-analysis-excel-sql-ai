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 defaultThemeVersion="166925"/>
  <xr:revisionPtr revIDLastSave="1509" documentId="11_E60897F41BE170836B02CE998F75CCDC64E183C8" xr6:coauthVersionLast="47" xr6:coauthVersionMax="47" xr10:uidLastSave="{460DA82E-6808-4BF3-BEC2-FBE74366F829}"/>
  <bookViews>
    <workbookView xWindow="240" yWindow="105" windowWidth="14805" windowHeight="8010" firstSheet="2" activeTab="2" xr2:uid="{00000000-000D-0000-FFFF-FFFF00000000}"/>
  </bookViews>
  <sheets>
    <sheet name="Sheet2" sheetId="2" r:id="rId1"/>
    <sheet name="2nd month practice" sheetId="6" r:id="rId2"/>
    <sheet name="2nd month project" sheetId="7" r:id="rId3"/>
    <sheet name="Sheet1" sheetId="3" r:id="rId4"/>
    <sheet name="project,1st month" sheetId="5" r:id="rId5"/>
  </sheets>
  <definedNames>
    <definedName name="_xlnm._FilterDatabase" localSheetId="0" hidden="1">Sheet2!$K$3:$K$3</definedName>
    <definedName name="_xlnm._FilterDatabase" localSheetId="1" hidden="1">'2nd month practice'!$D$3:$D$12</definedName>
    <definedName name="Slicer_net_profit">#N/A</definedName>
  </definedNames>
  <calcPr calcId="191028"/>
  <pivotCaches>
    <pivotCache cacheId="9394" r:id="rId6"/>
    <pivotCache cacheId="9989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7" l="1"/>
  <c r="F16" i="7"/>
  <c r="F15" i="7"/>
  <c r="F14" i="7"/>
  <c r="G5" i="7"/>
  <c r="G6" i="7"/>
  <c r="G7" i="7"/>
  <c r="F20" i="7" s="1"/>
  <c r="G8" i="7"/>
  <c r="G9" i="7"/>
  <c r="G10" i="7"/>
  <c r="G4" i="7"/>
  <c r="F18" i="7" s="1"/>
  <c r="J11" i="6"/>
  <c r="J10" i="6"/>
  <c r="J9" i="6"/>
  <c r="J6" i="6"/>
  <c r="J4" i="6"/>
  <c r="B35" i="6"/>
  <c r="B36" i="6"/>
  <c r="B37" i="6"/>
  <c r="B38" i="6"/>
  <c r="B39" i="6"/>
  <c r="B40" i="6"/>
  <c r="B41" i="6"/>
  <c r="B42" i="6"/>
  <c r="B43" i="6"/>
  <c r="B50" i="6"/>
  <c r="B57" i="6"/>
  <c r="B58" i="6"/>
  <c r="B56" i="6"/>
  <c r="B55" i="6"/>
  <c r="B54" i="6"/>
  <c r="B53" i="6"/>
  <c r="B52" i="6"/>
  <c r="B51" i="6"/>
  <c r="B47" i="6"/>
  <c r="B15" i="6"/>
  <c r="B32" i="6"/>
  <c r="B29" i="6"/>
  <c r="B18" i="6" a="1"/>
  <c r="B18" i="6"/>
  <c r="E21" i="5"/>
  <c r="E20" i="5"/>
  <c r="F5" i="5"/>
  <c r="F6" i="5"/>
  <c r="F7" i="5"/>
  <c r="F8" i="5"/>
  <c r="F4" i="5"/>
  <c r="E4" i="5"/>
  <c r="D9" i="5"/>
  <c r="C9" i="5"/>
  <c r="B9" i="5"/>
  <c r="E5" i="5"/>
  <c r="E6" i="5"/>
  <c r="E7" i="5"/>
  <c r="E8" i="5"/>
  <c r="E9" i="5"/>
  <c r="E17" i="5" s="1"/>
  <c r="G4" i="2"/>
  <c r="G3" i="2"/>
  <c r="D3" i="2"/>
  <c r="E3" i="2"/>
  <c r="D4" i="2"/>
  <c r="D2" i="2"/>
  <c r="F23" i="7" l="1"/>
  <c r="F19" i="7"/>
  <c r="F24" i="7"/>
  <c r="E22" i="5"/>
  <c r="E19" i="5"/>
  <c r="E16" i="5"/>
  <c r="E14" i="5"/>
  <c r="F9" i="5"/>
  <c r="E18" i="5"/>
  <c r="E15" i="5"/>
  <c r="E2" i="2"/>
  <c r="F2" i="2" s="1"/>
  <c r="E4" i="2"/>
  <c r="F4" i="2" s="1"/>
  <c r="F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<sst xmlns="http://schemas.openxmlformats.org/spreadsheetml/2006/main" count="166" uniqueCount="94">
  <si>
    <t>Column1</t>
  </si>
  <si>
    <t>revehue</t>
  </si>
  <si>
    <t>cost</t>
  </si>
  <si>
    <t>profit</t>
  </si>
  <si>
    <t xml:space="preserve">tax </t>
  </si>
  <si>
    <t>net profit</t>
  </si>
  <si>
    <t>growth</t>
  </si>
  <si>
    <t>year1</t>
  </si>
  <si>
    <t>year2</t>
  </si>
  <si>
    <t>year3</t>
  </si>
  <si>
    <t>TRIM("  Apple ")</t>
  </si>
  <si>
    <t>Messy Dataset</t>
  </si>
  <si>
    <t>Invoice</t>
  </si>
  <si>
    <t>Date</t>
  </si>
  <si>
    <t>Product</t>
  </si>
  <si>
    <t>Sales</t>
  </si>
  <si>
    <t>Region</t>
  </si>
  <si>
    <t xml:space="preserve"> MATCH Function (Finding Position)</t>
  </si>
  <si>
    <t>INV-1001</t>
  </si>
  <si>
    <t>Apple</t>
  </si>
  <si>
    <t>North</t>
  </si>
  <si>
    <t>INV-1002</t>
  </si>
  <si>
    <t>apple</t>
  </si>
  <si>
    <t>INDEX Function (Returning Value From Position)</t>
  </si>
  <si>
    <t>INV-1003</t>
  </si>
  <si>
    <t>Banana</t>
  </si>
  <si>
    <t>East</t>
  </si>
  <si>
    <t>INV-1004</t>
  </si>
  <si>
    <t>INV-1005</t>
  </si>
  <si>
    <t>Orange</t>
  </si>
  <si>
    <t>South</t>
  </si>
  <si>
    <t>INDEX + MATCH</t>
  </si>
  <si>
    <t>INV-1006</t>
  </si>
  <si>
    <t>INV-1007</t>
  </si>
  <si>
    <t>West</t>
  </si>
  <si>
    <t>INV-1008</t>
  </si>
  <si>
    <t>INV-1009</t>
  </si>
  <si>
    <t>proper alphabetical order</t>
  </si>
  <si>
    <t>=</t>
  </si>
  <si>
    <t>RIGHT – Extract Invoice Number</t>
  </si>
  <si>
    <t>TEXTJOIN (to join any text)</t>
  </si>
  <si>
    <t>COUNTIF – Count Based on Condition</t>
  </si>
  <si>
    <t>SUBSTITUTE – Removing  Symbol</t>
  </si>
  <si>
    <t>AVERAGEIF – Conditional Average</t>
  </si>
  <si>
    <t>8(imp)</t>
  </si>
  <si>
    <t>To replace the rupee sign (), remove all spaces, and convert the text to a number in a table, </t>
  </si>
  <si>
    <t>press Control + H and then find and replace all</t>
  </si>
  <si>
    <t>how to apply date of bars (condition formatting)</t>
  </si>
  <si>
    <t xml:space="preserve">Business Intelligence Report: Performance &amp; Profitability </t>
  </si>
  <si>
    <t>Category</t>
  </si>
  <si>
    <t>Revenue</t>
  </si>
  <si>
    <t>Cost</t>
  </si>
  <si>
    <t>Profit</t>
  </si>
  <si>
    <t>Laptop</t>
  </si>
  <si>
    <t>Electronics</t>
  </si>
  <si>
    <t>Sum of Revenue</t>
  </si>
  <si>
    <t>Mobile</t>
  </si>
  <si>
    <t>Grand Total</t>
  </si>
  <si>
    <t>Shoes</t>
  </si>
  <si>
    <t>Fashion</t>
  </si>
  <si>
    <t>Accessories</t>
  </si>
  <si>
    <t>Watch</t>
  </si>
  <si>
    <t>Core Analysis (Excel)</t>
  </si>
  <si>
    <t>total revenue per category (Electronics)</t>
  </si>
  <si>
    <t>total revenue per category (Fashion)</t>
  </si>
  <si>
    <t>total revenue per category (Accessories)</t>
  </si>
  <si>
    <t>total profit per category(Electronics)</t>
  </si>
  <si>
    <t>total profit per category(Fashion)</t>
  </si>
  <si>
    <t>total profit per category(Accessories)</t>
  </si>
  <si>
    <t>which region performs best</t>
  </si>
  <si>
    <t>which region is loss-making</t>
  </si>
  <si>
    <t>identify peak sales period</t>
  </si>
  <si>
    <t>travel expense</t>
  </si>
  <si>
    <t>Amount</t>
  </si>
  <si>
    <t>(All)</t>
  </si>
  <si>
    <t>travel</t>
  </si>
  <si>
    <t>food</t>
  </si>
  <si>
    <t>shopping</t>
  </si>
  <si>
    <t>avg spend</t>
  </si>
  <si>
    <t>Sum of travel</t>
  </si>
  <si>
    <t>Sum of food</t>
  </si>
  <si>
    <t>Sum of shopping</t>
  </si>
  <si>
    <t>Sum of Amount</t>
  </si>
  <si>
    <t>total</t>
  </si>
  <si>
    <t>expense insights</t>
  </si>
  <si>
    <t xml:space="preserve">Highest Category </t>
  </si>
  <si>
    <t>Highest Spend Day</t>
  </si>
  <si>
    <t xml:space="preserve">Lowest Spend Day </t>
  </si>
  <si>
    <t>Total Trip Cost</t>
  </si>
  <si>
    <t>Average Daily Spend</t>
  </si>
  <si>
    <t xml:space="preserve">      Percentage spent travel</t>
  </si>
  <si>
    <t xml:space="preserve">      Percentage spent food</t>
  </si>
  <si>
    <t xml:space="preserve">      Percentage spent shopping</t>
  </si>
  <si>
    <t>Which category dominates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</si>
</sst>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2"/>
      <color rgb="FF0A0A0A"/>
      <name val="Google Sans"/>
      <charset val="1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b/>
      <i/>
      <sz val="18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sz val="12"/>
      <color rgb="FF474747"/>
      <name val="Google Sans"/>
      <charset val="1"/>
    </font>
    <font>
      <b/>
      <sz val="12"/>
      <color rgb="FF000000"/>
      <name val="Calibri"/>
      <scheme val="minor"/>
    </font>
    <font>
      <sz val="12"/>
      <color rgb="FF0A0A0A"/>
      <name val="Google Sans"/>
      <charset val="1"/>
    </font>
    <font>
      <b/>
      <sz val="14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theme="4" tint="0.39997558519241921"/>
      </bottom>
      <diagonal/>
    </border>
    <border>
      <left style="medium">
        <color rgb="FF000000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/>
      <top style="thin">
        <color theme="4" tint="0.39997558519241921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9" fontId="0" fillId="0" borderId="0" xfId="0" applyNumberForma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0" fontId="5" fillId="2" borderId="9" xfId="0" applyFont="1" applyFill="1" applyBorder="1"/>
    <xf numFmtId="0" fontId="0" fillId="3" borderId="10" xfId="0" applyFont="1" applyFill="1" applyBorder="1"/>
    <xf numFmtId="0" fontId="0" fillId="0" borderId="10" xfId="0" applyFont="1" applyBorder="1"/>
    <xf numFmtId="0" fontId="6" fillId="3" borderId="11" xfId="0" applyFont="1" applyFill="1" applyBorder="1"/>
    <xf numFmtId="0" fontId="5" fillId="2" borderId="12" xfId="0" applyFont="1" applyFill="1" applyBorder="1"/>
    <xf numFmtId="0" fontId="0" fillId="3" borderId="13" xfId="0" applyFont="1" applyFill="1" applyBorder="1"/>
    <xf numFmtId="0" fontId="0" fillId="0" borderId="13" xfId="0" applyFont="1" applyBorder="1"/>
    <xf numFmtId="0" fontId="0" fillId="3" borderId="14" xfId="0" applyFont="1" applyFill="1" applyBorder="1"/>
    <xf numFmtId="0" fontId="0" fillId="0" borderId="0" xfId="0" pivotButton="1"/>
    <xf numFmtId="0" fontId="3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" fontId="4" fillId="0" borderId="19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/>
    <xf numFmtId="0" fontId="0" fillId="0" borderId="0" xfId="0" applyNumberFormat="1"/>
    <xf numFmtId="16" fontId="0" fillId="0" borderId="0" xfId="0" applyNumberFormat="1"/>
    <xf numFmtId="1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3" fillId="0" borderId="15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left"/>
    </xf>
    <xf numFmtId="0" fontId="12" fillId="0" borderId="0" xfId="0" applyFont="1" applyAlignment="1">
      <alignment wrapText="1"/>
    </xf>
    <xf numFmtId="2" fontId="0" fillId="0" borderId="0" xfId="0" applyNumberFormat="1"/>
    <xf numFmtId="2" fontId="0" fillId="0" borderId="20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8" fillId="0" borderId="15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3" fillId="0" borderId="23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wrapText="1"/>
    </xf>
    <xf numFmtId="14" fontId="3" fillId="0" borderId="23" xfId="0" applyNumberFormat="1" applyFon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4" fontId="0" fillId="0" borderId="0" xfId="0" applyNumberForma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6">
    <dxf>
      <numFmt numFmtId="19" formatCode="m/d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1" formatCode="d\-mmm"/>
    </dxf>
    <dxf>
      <numFmt numFmtId="21" formatCode="d\-mm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1.xlsx]2nd month project!PivotTable6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'2nd month project'!$I$4:$I$5</c:f>
              <c:strCache>
                <c:ptCount val="1"/>
                <c:pt idx="0">
                  <c:v>12000.00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'2nd month project'!$H$6:$H$9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'2nd month project'!$I$6:$I$9</c:f>
              <c:numCache>
                <c:formatCode>0.00</c:formatCode>
                <c:ptCount val="3"/>
                <c:pt idx="0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8-4CEC-BD70-E892369904CE}"/>
            </c:ext>
          </c:extLst>
        </c:ser>
        <c:ser>
          <c:idx val="1"/>
          <c:order val="1"/>
          <c:tx>
            <c:strRef>
              <c:f>'2nd month project'!$J$4:$J$5</c:f>
              <c:strCache>
                <c:ptCount val="1"/>
                <c:pt idx="0">
                  <c:v>15000.00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'2nd month project'!$H$6:$H$9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'2nd month project'!$J$6:$J$9</c:f>
              <c:numCache>
                <c:formatCode>0.00</c:formatCode>
                <c:ptCount val="3"/>
                <c:pt idx="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68-4CEC-BD70-E892369904CE}"/>
            </c:ext>
          </c:extLst>
        </c:ser>
        <c:ser>
          <c:idx val="2"/>
          <c:order val="2"/>
          <c:tx>
            <c:strRef>
              <c:f>'2nd month project'!$K$4:$K$5</c:f>
              <c:strCache>
                <c:ptCount val="1"/>
                <c:pt idx="0">
                  <c:v>18000.00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'2nd month project'!$H$6:$H$9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'2nd month project'!$K$6:$K$9</c:f>
              <c:numCache>
                <c:formatCode>0.00</c:formatCode>
                <c:ptCount val="3"/>
                <c:pt idx="2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68-4CEC-BD70-E892369904CE}"/>
            </c:ext>
          </c:extLst>
        </c:ser>
        <c:ser>
          <c:idx val="3"/>
          <c:order val="3"/>
          <c:tx>
            <c:strRef>
              <c:f>'2nd month project'!$L$4:$L$5</c:f>
              <c:strCache>
                <c:ptCount val="1"/>
                <c:pt idx="0">
                  <c:v>40000.00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'2nd month project'!$H$6:$H$9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'2nd month project'!$L$6:$L$9</c:f>
              <c:numCache>
                <c:formatCode>0.00</c:formatCode>
                <c:ptCount val="3"/>
                <c:pt idx="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68-4CEC-BD70-E892369904CE}"/>
            </c:ext>
          </c:extLst>
        </c:ser>
        <c:ser>
          <c:idx val="4"/>
          <c:order val="4"/>
          <c:tx>
            <c:strRef>
              <c:f>'2nd month project'!$M$4:$M$5</c:f>
              <c:strCache>
                <c:ptCount val="1"/>
                <c:pt idx="0">
                  <c:v>42000.00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'2nd month project'!$H$6:$H$9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'2nd month project'!$M$6:$M$9</c:f>
              <c:numCache>
                <c:formatCode>0.00</c:formatCode>
                <c:ptCount val="3"/>
                <c:pt idx="1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68-4CEC-BD70-E892369904CE}"/>
            </c:ext>
          </c:extLst>
        </c:ser>
        <c:ser>
          <c:idx val="5"/>
          <c:order val="5"/>
          <c:tx>
            <c:strRef>
              <c:f>'2nd month project'!$N$4:$N$5</c:f>
              <c:strCache>
                <c:ptCount val="1"/>
                <c:pt idx="0">
                  <c:v>75000.00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'2nd month project'!$H$6:$H$9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'2nd month project'!$N$6:$N$9</c:f>
              <c:numCache>
                <c:formatCode>0.00</c:formatCode>
                <c:ptCount val="3"/>
                <c:pt idx="1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68-4CEC-BD70-E892369904CE}"/>
            </c:ext>
          </c:extLst>
        </c:ser>
        <c:ser>
          <c:idx val="6"/>
          <c:order val="6"/>
          <c:tx>
            <c:strRef>
              <c:f>'2nd month project'!$O$4:$O$5</c:f>
              <c:strCache>
                <c:ptCount val="1"/>
                <c:pt idx="0">
                  <c:v>80000.00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'2nd month project'!$H$6:$H$9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</c:strCache>
            </c:strRef>
          </c:cat>
          <c:val>
            <c:numRef>
              <c:f>'2nd month project'!$O$6:$O$9</c:f>
              <c:numCache>
                <c:formatCode>0.00</c:formatCode>
                <c:ptCount val="3"/>
                <c:pt idx="1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68-4CEC-BD70-E89236990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6906376"/>
        <c:axId val="446110215"/>
      </c:barChart>
      <c:catAx>
        <c:axId val="1846906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10215"/>
        <c:crosses val="autoZero"/>
        <c:auto val="1"/>
        <c:lblAlgn val="ctr"/>
        <c:lblOffset val="100"/>
        <c:noMultiLvlLbl val="0"/>
      </c:catAx>
      <c:valAx>
        <c:axId val="446110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90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Sheet1!$A$3:$A$5</c:f>
              <c:strCache>
                <c:ptCount val="3"/>
                <c:pt idx="0">
                  <c:v>year1</c:v>
                </c:pt>
                <c:pt idx="1">
                  <c:v>year2</c:v>
                </c:pt>
                <c:pt idx="2">
                  <c:v>year3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3"/>
                <c:pt idx="0">
                  <c:v>6000</c:v>
                </c:pt>
                <c:pt idx="1">
                  <c:v>12000</c:v>
                </c:pt>
                <c:pt idx="2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B-4E2C-B1D0-E25F7FBFE7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305480"/>
        <c:axId val="91307528"/>
      </c:barChart>
      <c:catAx>
        <c:axId val="91305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07528"/>
        <c:crosses val="autoZero"/>
        <c:auto val="1"/>
        <c:lblAlgn val="ctr"/>
        <c:lblOffset val="100"/>
        <c:noMultiLvlLbl val="0"/>
      </c:catAx>
      <c:valAx>
        <c:axId val="9130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0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1.xlsx]project,1st month!PivotTable2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'project,1st month'!$I$3</c:f>
              <c:strCache>
                <c:ptCount val="1"/>
                <c:pt idx="0">
                  <c:v>Sum of travel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'project,1st month'!$H$4:$H$8</c:f>
              <c:strCache>
                <c:ptCount val="5"/>
                <c:pt idx="0">
                  <c:v>7/2/1930</c:v>
                </c:pt>
                <c:pt idx="1">
                  <c:v>7/3/1930</c:v>
                </c:pt>
                <c:pt idx="2">
                  <c:v>7/4/1930</c:v>
                </c:pt>
                <c:pt idx="3">
                  <c:v>7/5/1930</c:v>
                </c:pt>
                <c:pt idx="4">
                  <c:v>7/1/2026</c:v>
                </c:pt>
              </c:strCache>
            </c:strRef>
          </c:cat>
          <c:val>
            <c:numRef>
              <c:f>'project,1st month'!$I$4:$I$8</c:f>
              <c:numCache>
                <c:formatCode>General</c:formatCode>
                <c:ptCount val="5"/>
                <c:pt idx="0">
                  <c:v>400</c:v>
                </c:pt>
                <c:pt idx="1">
                  <c:v>500</c:v>
                </c:pt>
                <c:pt idx="2">
                  <c:v>400</c:v>
                </c:pt>
                <c:pt idx="3">
                  <c:v>4000</c:v>
                </c:pt>
                <c:pt idx="4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7-4F0A-97EB-24055482237B}"/>
            </c:ext>
          </c:extLst>
        </c:ser>
        <c:ser>
          <c:idx val="1"/>
          <c:order val="1"/>
          <c:tx>
            <c:strRef>
              <c:f>'project,1st month'!$J$3</c:f>
              <c:strCache>
                <c:ptCount val="1"/>
                <c:pt idx="0">
                  <c:v>Sum of 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'project,1st month'!$H$4:$H$8</c:f>
              <c:strCache>
                <c:ptCount val="5"/>
                <c:pt idx="0">
                  <c:v>7/2/1930</c:v>
                </c:pt>
                <c:pt idx="1">
                  <c:v>7/3/1930</c:v>
                </c:pt>
                <c:pt idx="2">
                  <c:v>7/4/1930</c:v>
                </c:pt>
                <c:pt idx="3">
                  <c:v>7/5/1930</c:v>
                </c:pt>
                <c:pt idx="4">
                  <c:v>7/1/2026</c:v>
                </c:pt>
              </c:strCache>
            </c:strRef>
          </c:cat>
          <c:val>
            <c:numRef>
              <c:f>'project,1st month'!$J$4:$J$8</c:f>
              <c:numCache>
                <c:formatCode>General</c:formatCode>
                <c:ptCount val="5"/>
                <c:pt idx="0">
                  <c:v>800</c:v>
                </c:pt>
                <c:pt idx="1">
                  <c:v>950</c:v>
                </c:pt>
                <c:pt idx="2">
                  <c:v>750</c:v>
                </c:pt>
                <c:pt idx="3">
                  <c:v>500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57-4F0A-97EB-24055482237B}"/>
            </c:ext>
          </c:extLst>
        </c:ser>
        <c:ser>
          <c:idx val="2"/>
          <c:order val="2"/>
          <c:tx>
            <c:strRef>
              <c:f>'project,1st month'!$K$3</c:f>
              <c:strCache>
                <c:ptCount val="1"/>
                <c:pt idx="0">
                  <c:v>Sum of shopping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'project,1st month'!$H$4:$H$8</c:f>
              <c:strCache>
                <c:ptCount val="5"/>
                <c:pt idx="0">
                  <c:v>7/2/1930</c:v>
                </c:pt>
                <c:pt idx="1">
                  <c:v>7/3/1930</c:v>
                </c:pt>
                <c:pt idx="2">
                  <c:v>7/4/1930</c:v>
                </c:pt>
                <c:pt idx="3">
                  <c:v>7/5/1930</c:v>
                </c:pt>
                <c:pt idx="4">
                  <c:v>7/1/2026</c:v>
                </c:pt>
              </c:strCache>
            </c:strRef>
          </c:cat>
          <c:val>
            <c:numRef>
              <c:f>'project,1st month'!$K$4:$K$8</c:f>
              <c:numCache>
                <c:formatCode>General</c:formatCode>
                <c:ptCount val="5"/>
                <c:pt idx="0">
                  <c:v>3000</c:v>
                </c:pt>
                <c:pt idx="1">
                  <c:v>4500</c:v>
                </c:pt>
                <c:pt idx="2">
                  <c:v>3500</c:v>
                </c:pt>
                <c:pt idx="3">
                  <c:v>1500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57-4F0A-97EB-24055482237B}"/>
            </c:ext>
          </c:extLst>
        </c:ser>
        <c:ser>
          <c:idx val="3"/>
          <c:order val="3"/>
          <c:tx>
            <c:strRef>
              <c:f>'project,1st month'!$L$3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'project,1st month'!$H$4:$H$8</c:f>
              <c:strCache>
                <c:ptCount val="5"/>
                <c:pt idx="0">
                  <c:v>7/2/1930</c:v>
                </c:pt>
                <c:pt idx="1">
                  <c:v>7/3/1930</c:v>
                </c:pt>
                <c:pt idx="2">
                  <c:v>7/4/1930</c:v>
                </c:pt>
                <c:pt idx="3">
                  <c:v>7/5/1930</c:v>
                </c:pt>
                <c:pt idx="4">
                  <c:v>7/1/2026</c:v>
                </c:pt>
              </c:strCache>
            </c:strRef>
          </c:cat>
          <c:val>
            <c:numRef>
              <c:f>'project,1st month'!$L$4:$L$8</c:f>
              <c:numCache>
                <c:formatCode>General</c:formatCode>
                <c:ptCount val="5"/>
                <c:pt idx="0">
                  <c:v>4200</c:v>
                </c:pt>
                <c:pt idx="1">
                  <c:v>5950</c:v>
                </c:pt>
                <c:pt idx="2">
                  <c:v>4650</c:v>
                </c:pt>
                <c:pt idx="3">
                  <c:v>6000</c:v>
                </c:pt>
                <c:pt idx="4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57-4F0A-97EB-240554822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80968"/>
        <c:axId val="96715784"/>
      </c:barChart>
      <c:catAx>
        <c:axId val="9668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5784"/>
        <c:crosses val="autoZero"/>
        <c:auto val="1"/>
        <c:lblAlgn val="ctr"/>
        <c:lblOffset val="100"/>
        <c:noMultiLvlLbl val="0"/>
      </c:catAx>
      <c:valAx>
        <c:axId val="9671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8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EE-4733-ACF7-3EBC9B41EB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EE-4733-ACF7-3EBC9B41EB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EE-4733-ACF7-3EBC9B41EB02}"/>
              </c:ext>
            </c:extLst>
          </c:dPt>
          <c:val>
            <c:numRef>
              <c:f>'project,1st month'!$B$9:$D$9</c:f>
              <c:numCache>
                <c:formatCode>General</c:formatCode>
                <c:ptCount val="3"/>
                <c:pt idx="0">
                  <c:v>9300</c:v>
                </c:pt>
                <c:pt idx="1">
                  <c:v>3500</c:v>
                </c:pt>
                <c:pt idx="2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E6-49CD-B391-AC737C917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1409700</xdr:colOff>
      <xdr:row>0</xdr:row>
      <xdr:rowOff>0</xdr:rowOff>
    </xdr:from>
    <xdr:to>
      <xdr:col>13</xdr:col>
      <xdr:colOff>190500</xdr:colOff>
      <xdr:row>13</xdr:row>
      <xdr:rowOff>142875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net profit">
              <a:extLst>
                <a:ext uri="{FF2B5EF4-FFF2-40B4-BE49-F238E27FC236}">
                  <a16:creationId xmlns:a16="http://schemas.microsoft.com/office/drawing/2014/main" id="{A97ACD8B-8AA4-B408-4A25-5CCDA5F0F3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et prof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800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9</xdr:row>
      <xdr:rowOff>171450</xdr:rowOff>
    </xdr:from>
    <xdr:to>
      <xdr:col>13</xdr:col>
      <xdr:colOff>409575</xdr:colOff>
      <xdr:row>24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0C12AF-A662-2431-040B-78C15C14C360}"/>
            </a:ext>
            <a:ext uri="{147F2762-F138-4A5C-976F-8EAC2B608ADB}">
              <a16:predDERef xmlns:a16="http://schemas.microsoft.com/office/drawing/2014/main" pred="{7A2A3859-A655-47CA-8C3A-8C34EDB7B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2</xdr:row>
      <xdr:rowOff>95250</xdr:rowOff>
    </xdr:from>
    <xdr:to>
      <xdr:col>14</xdr:col>
      <xdr:colOff>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9C464-0EAB-EA3D-9A18-5F9F9A3AA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133350</xdr:rowOff>
    </xdr:from>
    <xdr:to>
      <xdr:col>12</xdr:col>
      <xdr:colOff>304800</xdr:colOff>
      <xdr:row>25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C5F7EC6-D4E6-DE30-C628-7727C1F60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25</xdr:row>
      <xdr:rowOff>85725</xdr:rowOff>
    </xdr:from>
    <xdr:to>
      <xdr:col>8</xdr:col>
      <xdr:colOff>628650</xdr:colOff>
      <xdr:row>39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881460-3572-15A8-0AFE-0D310BD8B06F}"/>
            </a:ext>
            <a:ext uri="{147F2762-F138-4A5C-976F-8EAC2B608ADB}">
              <a16:predDERef xmlns:a16="http://schemas.microsoft.com/office/drawing/2014/main" pred="{FC5F7EC6-D4E6-DE30-C628-7727C1F60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5.068718750001" createdVersion="8" refreshedVersion="8" minRefreshableVersion="3" recordCount="6" xr:uid="{06F85B4C-3515-4A2C-BE0F-D4174024992A}">
  <cacheSource type="worksheet">
    <worksheetSource ref="A3:F9" sheet="project,1st month"/>
  </cacheSource>
  <cacheFields count="6">
    <cacheField name="Date" numFmtId="0">
      <sharedItems containsDate="1" containsMixedTypes="1" minDate="1930-07-02T00:00:00" maxDate="2026-07-02T00:00:00" count="6">
        <d v="2026-07-01T00:00:00"/>
        <d v="1930-07-02T00:00:00"/>
        <d v="1930-07-03T00:00:00"/>
        <d v="1930-07-04T00:00:00"/>
        <d v="1930-07-05T00:00:00"/>
        <s v="total"/>
      </sharedItems>
    </cacheField>
    <cacheField name="travel" numFmtId="0">
      <sharedItems containsSemiMixedTypes="0" containsString="0" containsNumber="1" containsInteger="1" minValue="400" maxValue="9300"/>
    </cacheField>
    <cacheField name="food" numFmtId="0">
      <sharedItems containsSemiMixedTypes="0" containsString="0" containsNumber="1" containsInteger="1" minValue="500" maxValue="3500"/>
    </cacheField>
    <cacheField name="shopping" numFmtId="0">
      <sharedItems containsSemiMixedTypes="0" containsString="0" containsNumber="1" containsInteger="1" minValue="500" maxValue="13000"/>
    </cacheField>
    <cacheField name="Amount" numFmtId="0">
      <sharedItems containsSemiMixedTypes="0" containsString="0" containsNumber="1" containsInteger="1" minValue="4200" maxValue="25800" count="6">
        <n v="5000"/>
        <n v="4200"/>
        <n v="5950"/>
        <n v="4650"/>
        <n v="6000"/>
        <n v="25800"/>
      </sharedItems>
    </cacheField>
    <cacheField name="avg spend" numFmtId="0">
      <sharedItems containsSemiMixedTypes="0" containsString="0" containsNumber="1" minValue="1400" maxValue="8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4.490900925928" createdVersion="8" refreshedVersion="8" minRefreshableVersion="3" recordCount="7" xr:uid="{11F52076-7923-48CD-AAA7-58B7E52FE6C2}">
  <cacheSource type="worksheet">
    <worksheetSource ref="A3:G10" sheet="2nd month project"/>
  </cacheSource>
  <cacheFields count="7">
    <cacheField name="Date" numFmtId="14">
      <sharedItems containsSemiMixedTypes="0" containsNonDate="0" containsDate="1" containsString="0" minDate="2025-07-01T00:00:00" maxDate="2025-07-08T00:00:00"/>
    </cacheField>
    <cacheField name="Product" numFmtId="0">
      <sharedItems/>
    </cacheField>
    <cacheField name="Category" numFmtId="0">
      <sharedItems count="3">
        <s v="Electronics"/>
        <s v="Fashion"/>
        <s v="Accessories"/>
      </sharedItems>
    </cacheField>
    <cacheField name="Region" numFmtId="0">
      <sharedItems/>
    </cacheField>
    <cacheField name="Revenue" numFmtId="2">
      <sharedItems containsSemiMixedTypes="0" containsString="0" containsNumber="1" containsInteger="1" minValue="12000" maxValue="80000" count="7">
        <n v="75000"/>
        <n v="40000"/>
        <n v="15000"/>
        <n v="12000"/>
        <n v="80000"/>
        <n v="42000"/>
        <n v="18000"/>
      </sharedItems>
    </cacheField>
    <cacheField name="Cost" numFmtId="2">
      <sharedItems containsSemiMixedTypes="0" containsString="0" containsNumber="1" containsInteger="1" minValue="7000" maxValue="60000"/>
    </cacheField>
    <cacheField name="Profit" numFmtId="2">
      <sharedItems containsSemiMixedTypes="0" containsString="0" containsNumber="1" containsInteger="1" minValue="5000" maxValue="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4000"/>
    <n v="500"/>
    <n v="500"/>
    <x v="0"/>
    <n v="1666.6666666666667"/>
  </r>
  <r>
    <x v="1"/>
    <n v="400"/>
    <n v="800"/>
    <n v="3000"/>
    <x v="1"/>
    <n v="1400"/>
  </r>
  <r>
    <x v="2"/>
    <n v="500"/>
    <n v="950"/>
    <n v="4500"/>
    <x v="2"/>
    <n v="1983.3333333333333"/>
  </r>
  <r>
    <x v="3"/>
    <n v="400"/>
    <n v="750"/>
    <n v="3500"/>
    <x v="3"/>
    <n v="1550"/>
  </r>
  <r>
    <x v="4"/>
    <n v="4000"/>
    <n v="500"/>
    <n v="1500"/>
    <x v="4"/>
    <n v="2000"/>
  </r>
  <r>
    <x v="5"/>
    <n v="9300"/>
    <n v="3500"/>
    <n v="13000"/>
    <x v="5"/>
    <n v="86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d v="2025-07-01T00:00:00"/>
    <s v="Laptop"/>
    <x v="0"/>
    <s v="North"/>
    <x v="0"/>
    <n v="55000"/>
    <n v="20000"/>
  </r>
  <r>
    <d v="2025-07-02T00:00:00"/>
    <s v="Mobile"/>
    <x v="0"/>
    <s v="South"/>
    <x v="1"/>
    <n v="30000"/>
    <n v="10000"/>
  </r>
  <r>
    <d v="2025-07-03T00:00:00"/>
    <s v="Shoes"/>
    <x v="1"/>
    <s v="West"/>
    <x v="2"/>
    <n v="8000"/>
    <n v="7000"/>
  </r>
  <r>
    <d v="2025-07-04T00:00:00"/>
    <s v="Watch"/>
    <x v="2"/>
    <s v="East"/>
    <x v="3"/>
    <n v="7000"/>
    <n v="5000"/>
  </r>
  <r>
    <d v="2025-07-05T00:00:00"/>
    <s v="Laptop"/>
    <x v="0"/>
    <s v="West"/>
    <x v="4"/>
    <n v="60000"/>
    <n v="20000"/>
  </r>
  <r>
    <d v="2025-07-06T00:00:00"/>
    <s v="Mobile"/>
    <x v="0"/>
    <s v="North"/>
    <x v="5"/>
    <n v="31000"/>
    <n v="11000"/>
  </r>
  <r>
    <d v="2025-07-07T00:00:00"/>
    <s v="Shoes"/>
    <x v="1"/>
    <s v="South"/>
    <x v="6"/>
    <n v="9000"/>
    <n v="9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56432-1C51-43F2-B033-C47E67991716}" name="PivotTable6" cacheId="99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H4:P9" firstHeaderRow="1" firstDataRow="2" firstDataCol="1"/>
  <pivotFields count="7">
    <pivotField compact="0" numFmtId="14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axis="axisCol" dataField="1" compact="0" numFmtId="2" outline="0" showAll="0">
      <items count="8">
        <item x="3"/>
        <item x="2"/>
        <item x="6"/>
        <item x="1"/>
        <item x="5"/>
        <item x="0"/>
        <item x="4"/>
        <item t="default"/>
      </items>
    </pivotField>
    <pivotField compact="0" numFmtId="2" outline="0" showAll="0"/>
    <pivotField compact="0" numFmtId="2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Revenue" fld="4" baseField="0" baseItem="0" numFmtId="2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3F256-67D3-4709-9D83-C8D6F02F3788}" name="PivotTable2" cacheId="939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4">
  <location ref="H3:L8" firstHeaderRow="0" firstDataRow="1" firstDataCol="1" rowPageCount="1" colPageCount="1"/>
  <pivotFields count="6">
    <pivotField axis="axisRow" compact="0" outline="0" subtotalTop="0" showAll="0" sortType="ascending">
      <items count="7">
        <item h="1" x="5"/>
        <item x="1"/>
        <item x="2"/>
        <item x="3"/>
        <item x="4"/>
        <item x="0"/>
        <item t="default"/>
      </items>
    </pivotField>
    <pivotField dataField="1" compact="0" outline="0" subtotalTop="0" showAll="0" sortType="ascending"/>
    <pivotField dataField="1" compact="0" outline="0" subtotalTop="0" showAll="0" sortType="descending"/>
    <pivotField dataField="1" compact="0" outline="0" subtotalTop="0" showAll="0"/>
    <pivotField axis="axisPage" dataField="1" compact="0" outline="0" subtotalTop="0" showAll="0">
      <items count="7">
        <item x="1"/>
        <item x="3"/>
        <item x="0"/>
        <item x="2"/>
        <item x="4"/>
        <item x="5"/>
        <item t="default"/>
      </items>
    </pivotField>
    <pivotField compact="0" outline="0" subtotalTop="0" showAll="0"/>
  </pivotFields>
  <rowFields count="1">
    <field x="0"/>
  </rowFields>
  <rowItems count="5"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Sum of travel" fld="1" baseField="0" baseItem="0"/>
    <dataField name="Sum of food" fld="2" baseField="0" baseItem="0"/>
    <dataField name="Sum of shopping" fld="3" baseField="0" baseItem="0"/>
    <dataField name="Sum of Amount" fld="4" baseField="0" baseItem="0"/>
  </dataFields>
  <formats count="2"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0" count="0"/>
        </references>
      </pivotArea>
    </format>
  </format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et_profit" xr10:uid="{491FA056-AFB3-4C5A-B2BC-BFBFFB0A79A1}" sourceName="net profit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et profit" xr10:uid="{45400F8A-4519-407A-ABA3-686E02A0AD82}" cache="Slicer_net_profit" caption="net profi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A358D-6E84-4EBC-8698-626482EE348D}" name="Table1" displayName="Table1" ref="A1:G5" totalsRowCount="1" headerRowDxfId="3">
  <autoFilter ref="A1:G4" xr:uid="{EFEA358D-6E84-4EBC-8698-626482EE348D}"/>
  <sortState xmlns:xlrd2="http://schemas.microsoft.com/office/spreadsheetml/2017/richdata2" ref="A2:G4">
    <sortCondition ref="F1:F4"/>
  </sortState>
  <tableColumns count="7">
    <tableColumn id="1" xr3:uid="{C2551C29-C538-4D5E-ACB4-812BFE858C8B}" name="Column1"/>
    <tableColumn id="2" xr3:uid="{C932E865-3A0D-42F8-86C7-DCBA5DBA4D04}" name="revehue" totalsRowDxfId="2"/>
    <tableColumn id="3" xr3:uid="{46D31C6C-753F-4654-8EB2-0938376C7513}" name="cost"/>
    <tableColumn id="4" xr3:uid="{83A0F5F7-3DB4-4DF0-BCD1-34BBE06B2BA7}" name="profit">
      <calculatedColumnFormula>B2-C2</calculatedColumnFormula>
    </tableColumn>
    <tableColumn id="5" xr3:uid="{0A9FF0FA-2913-4641-A70B-F2F06BF96993}" name="tax ">
      <calculatedColumnFormula>D2*$B$5</calculatedColumnFormula>
    </tableColumn>
    <tableColumn id="6" xr3:uid="{324C21E1-3081-4601-A071-1844CAFBA2A2}" name="net profit">
      <calculatedColumnFormula>D2-E2</calculatedColumnFormula>
    </tableColumn>
    <tableColumn id="7" xr3:uid="{0877D288-E8DF-404C-B90C-ED42837686BB}" name="growth">
      <calculatedColumnFormula>(B2-B1)/B1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071B6F-7E5D-4A0F-9BC8-CDD87EB4AB29}" name="Table2" displayName="Table2" ref="A3:E12" totalsRowShown="0" headerRowDxfId="1">
  <autoFilter ref="A3:E12" xr:uid="{9D071B6F-7E5D-4A0F-9BC8-CDD87EB4AB29}"/>
  <tableColumns count="5">
    <tableColumn id="1" xr3:uid="{233F4584-D33B-496D-B4D4-7C6F0E351FAA}" name="Invoice"/>
    <tableColumn id="2" xr3:uid="{79B322EC-A109-4253-B256-9A79075F45A2}" name="Date" dataDxfId="0"/>
    <tableColumn id="3" xr3:uid="{1CAD136C-3179-4D00-882F-AFCD10881704}" name="Product"/>
    <tableColumn id="4" xr3:uid="{F26656E1-9871-4FE6-9BBF-A9632B9567DB}" name="Sales"/>
    <tableColumn id="5" xr3:uid="{4D6ADA26-A218-457B-9665-95C25B1DB2B7}" name="Reg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93B9-5B2A-4AF3-AC50-D76775C76A71}">
  <dimension ref="A1:L9"/>
  <sheetViews>
    <sheetView workbookViewId="0">
      <selection activeCell="K9" sqref="K9"/>
    </sheetView>
  </sheetViews>
  <sheetFormatPr defaultRowHeight="15"/>
  <cols>
    <col min="1" max="1" width="11.140625" bestFit="1" customWidth="1"/>
    <col min="2" max="2" width="10.42578125" bestFit="1" customWidth="1"/>
    <col min="5" max="5" width="11.5703125" customWidth="1"/>
    <col min="6" max="6" width="11.5703125" bestFit="1" customWidth="1"/>
    <col min="7" max="7" width="13.7109375" customWidth="1"/>
    <col min="8" max="8" width="11.85546875" customWidth="1"/>
    <col min="11" max="12" width="36.5703125" bestFit="1" customWidth="1"/>
  </cols>
  <sheetData>
    <row r="1" spans="1:1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2"/>
    </row>
    <row r="2" spans="1:12" ht="15.75">
      <c r="A2" s="7" t="s">
        <v>7</v>
      </c>
      <c r="B2" s="8">
        <v>10000</v>
      </c>
      <c r="C2" s="8">
        <v>4000</v>
      </c>
      <c r="D2" s="8">
        <f>B2-C2</f>
        <v>6000</v>
      </c>
      <c r="E2" s="8">
        <f>D2*$B$5</f>
        <v>0</v>
      </c>
      <c r="F2" s="8">
        <f>D2-E2</f>
        <v>6000</v>
      </c>
      <c r="G2" s="9"/>
      <c r="H2" s="3"/>
      <c r="L2" s="63"/>
    </row>
    <row r="3" spans="1:12">
      <c r="A3" s="7" t="s">
        <v>8</v>
      </c>
      <c r="B3" s="8">
        <v>30000</v>
      </c>
      <c r="C3" s="8">
        <v>18000</v>
      </c>
      <c r="D3" s="8">
        <f>B3-C3</f>
        <v>12000</v>
      </c>
      <c r="E3" s="8">
        <f>D3*$B$5</f>
        <v>0</v>
      </c>
      <c r="F3" s="8">
        <f>D3-E3</f>
        <v>12000</v>
      </c>
      <c r="G3" s="9">
        <f>(B3-B2)/B2</f>
        <v>2</v>
      </c>
    </row>
    <row r="4" spans="1:12" ht="15.75">
      <c r="A4" s="10" t="s">
        <v>9</v>
      </c>
      <c r="B4" s="11">
        <v>40000</v>
      </c>
      <c r="C4" s="11">
        <v>20000</v>
      </c>
      <c r="D4" s="11">
        <f>B4-C4</f>
        <v>20000</v>
      </c>
      <c r="E4" s="11">
        <f>D4*$B$5</f>
        <v>0</v>
      </c>
      <c r="F4" s="11">
        <f>D4-E4</f>
        <v>20000</v>
      </c>
      <c r="G4" s="12">
        <f>(B4-B3)/B3</f>
        <v>0.33333333333333331</v>
      </c>
      <c r="H4" s="3"/>
      <c r="K4" s="13"/>
    </row>
    <row r="5" spans="1:12">
      <c r="B5" s="1"/>
    </row>
    <row r="6" spans="1:12">
      <c r="L6" s="13"/>
    </row>
    <row r="9" spans="1:12">
      <c r="K9" t="s">
        <v>10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7EA9-21AC-4336-B718-4EE3B87D73D8}">
  <dimension ref="A2:J73"/>
  <sheetViews>
    <sheetView workbookViewId="0">
      <selection activeCell="J4" sqref="J4"/>
    </sheetView>
  </sheetViews>
  <sheetFormatPr defaultRowHeight="15"/>
  <cols>
    <col min="1" max="1" width="10.85546875" bestFit="1" customWidth="1"/>
    <col min="2" max="2" width="36.5703125" bestFit="1" customWidth="1"/>
    <col min="3" max="3" width="10.140625" bestFit="1" customWidth="1"/>
    <col min="5" max="5" width="9.28515625" bestFit="1" customWidth="1"/>
    <col min="10" max="10" width="41.85546875" customWidth="1"/>
  </cols>
  <sheetData>
    <row r="2" spans="1:10" ht="15.75">
      <c r="A2" s="70" t="s">
        <v>11</v>
      </c>
      <c r="B2" s="71"/>
      <c r="C2" s="71"/>
      <c r="D2" s="71"/>
      <c r="E2" s="71"/>
    </row>
    <row r="3" spans="1:10">
      <c r="A3" s="2" t="s">
        <v>12</v>
      </c>
      <c r="B3" s="41" t="s">
        <v>13</v>
      </c>
      <c r="C3" s="2" t="s">
        <v>14</v>
      </c>
      <c r="D3" s="2" t="s">
        <v>15</v>
      </c>
      <c r="E3" s="2" t="s">
        <v>16</v>
      </c>
      <c r="I3">
        <v>10</v>
      </c>
      <c r="J3" t="s">
        <v>17</v>
      </c>
    </row>
    <row r="4" spans="1:10">
      <c r="A4" t="s">
        <v>18</v>
      </c>
      <c r="B4" s="42">
        <v>45292</v>
      </c>
      <c r="C4" t="s">
        <v>19</v>
      </c>
      <c r="D4">
        <v>200</v>
      </c>
      <c r="E4" t="s">
        <v>20</v>
      </c>
      <c r="J4">
        <f>MATCH("INV-1001",A4:A12,0)</f>
        <v>1</v>
      </c>
    </row>
    <row r="5" spans="1:10" ht="30.75">
      <c r="A5" t="s">
        <v>21</v>
      </c>
      <c r="B5" s="42">
        <v>45292</v>
      </c>
      <c r="C5" t="s">
        <v>22</v>
      </c>
      <c r="D5">
        <v>200</v>
      </c>
      <c r="E5" t="s">
        <v>20</v>
      </c>
      <c r="I5">
        <v>11</v>
      </c>
      <c r="J5" s="13" t="s">
        <v>23</v>
      </c>
    </row>
    <row r="6" spans="1:10">
      <c r="A6" t="s">
        <v>24</v>
      </c>
      <c r="B6" s="42">
        <v>45293</v>
      </c>
      <c r="C6" t="s">
        <v>25</v>
      </c>
      <c r="D6">
        <v>300</v>
      </c>
      <c r="E6" t="s">
        <v>26</v>
      </c>
      <c r="J6" t="str">
        <f>INDEX(A4:A12,7)</f>
        <v>INV-1007</v>
      </c>
    </row>
    <row r="7" spans="1:10">
      <c r="A7" t="s">
        <v>27</v>
      </c>
      <c r="B7" s="42">
        <v>45293</v>
      </c>
      <c r="C7" t="s">
        <v>25</v>
      </c>
      <c r="D7">
        <v>300</v>
      </c>
      <c r="E7" t="s">
        <v>26</v>
      </c>
    </row>
    <row r="8" spans="1:10">
      <c r="A8" t="s">
        <v>28</v>
      </c>
      <c r="B8" s="42">
        <v>45294</v>
      </c>
      <c r="C8" t="s">
        <v>29</v>
      </c>
      <c r="D8">
        <v>150</v>
      </c>
      <c r="E8" t="s">
        <v>30</v>
      </c>
      <c r="I8">
        <v>12</v>
      </c>
      <c r="J8" t="s">
        <v>31</v>
      </c>
    </row>
    <row r="9" spans="1:10" ht="30.75">
      <c r="A9" t="s">
        <v>32</v>
      </c>
      <c r="B9" s="42">
        <v>45294</v>
      </c>
      <c r="C9" t="s">
        <v>29</v>
      </c>
      <c r="D9">
        <v>150</v>
      </c>
      <c r="E9" t="s">
        <v>30</v>
      </c>
      <c r="J9" s="13" t="str">
        <f>INDEX(A4:A12,MATCH("INV-1004",A4:A12,0))</f>
        <v>INV-1004</v>
      </c>
    </row>
    <row r="10" spans="1:10">
      <c r="A10" t="s">
        <v>33</v>
      </c>
      <c r="B10" s="42">
        <v>45295</v>
      </c>
      <c r="C10" t="s">
        <v>19</v>
      </c>
      <c r="D10">
        <v>400</v>
      </c>
      <c r="E10" t="s">
        <v>34</v>
      </c>
      <c r="J10" s="46">
        <f>INDEX(D4:D12,MATCH("INV-1007",A4:A12,0))</f>
        <v>400</v>
      </c>
    </row>
    <row r="11" spans="1:10">
      <c r="A11" t="s">
        <v>35</v>
      </c>
      <c r="B11" s="42">
        <v>45295</v>
      </c>
      <c r="C11" t="s">
        <v>25</v>
      </c>
      <c r="D11">
        <v>350</v>
      </c>
      <c r="E11" t="s">
        <v>26</v>
      </c>
      <c r="J11" t="str">
        <f>INDEX(C4:C12,MATCH("INV-1008",A4:A12,0))</f>
        <v>Banana</v>
      </c>
    </row>
    <row r="12" spans="1:10">
      <c r="A12" t="s">
        <v>36</v>
      </c>
      <c r="B12" s="42">
        <v>45296</v>
      </c>
      <c r="C12" t="s">
        <v>19</v>
      </c>
      <c r="D12">
        <v>500</v>
      </c>
      <c r="E12" t="s">
        <v>20</v>
      </c>
    </row>
    <row r="14" spans="1:10">
      <c r="A14">
        <v>1</v>
      </c>
      <c r="B14" t="s">
        <v>37</v>
      </c>
      <c r="J14" s="13"/>
    </row>
    <row r="15" spans="1:10">
      <c r="A15" s="43" t="s">
        <v>38</v>
      </c>
      <c r="B15" t="str">
        <f>PROPER(C5)</f>
        <v>Apple</v>
      </c>
    </row>
    <row r="17" spans="1:2">
      <c r="A17">
        <v>2</v>
      </c>
      <c r="B17" t="s">
        <v>39</v>
      </c>
    </row>
    <row r="18" spans="1:2">
      <c r="A18" s="43" t="s">
        <v>38</v>
      </c>
      <c r="B18" s="44" t="str" cm="1">
        <f t="array" ref="B18:B26">RIGHT(D4:D12,3)</f>
        <v>200</v>
      </c>
    </row>
    <row r="19" spans="1:2">
      <c r="A19" s="43" t="s">
        <v>38</v>
      </c>
      <c r="B19" s="44" t="str">
        <v>200</v>
      </c>
    </row>
    <row r="20" spans="1:2">
      <c r="A20" s="43" t="s">
        <v>38</v>
      </c>
      <c r="B20" s="44" t="str">
        <v>300</v>
      </c>
    </row>
    <row r="21" spans="1:2">
      <c r="A21" s="43" t="s">
        <v>38</v>
      </c>
      <c r="B21" s="44" t="str">
        <v>300</v>
      </c>
    </row>
    <row r="22" spans="1:2">
      <c r="A22" s="43" t="s">
        <v>38</v>
      </c>
      <c r="B22" s="44" t="str">
        <v>150</v>
      </c>
    </row>
    <row r="23" spans="1:2">
      <c r="A23" s="43" t="s">
        <v>38</v>
      </c>
      <c r="B23" s="44" t="str">
        <v>150</v>
      </c>
    </row>
    <row r="24" spans="1:2">
      <c r="A24" s="43" t="s">
        <v>38</v>
      </c>
      <c r="B24" s="44" t="str">
        <v>400</v>
      </c>
    </row>
    <row r="25" spans="1:2">
      <c r="A25" s="43" t="s">
        <v>38</v>
      </c>
      <c r="B25" s="44" t="str">
        <v>350</v>
      </c>
    </row>
    <row r="26" spans="1:2">
      <c r="A26" s="43" t="s">
        <v>38</v>
      </c>
      <c r="B26" s="44" t="str">
        <v>500</v>
      </c>
    </row>
    <row r="28" spans="1:2">
      <c r="A28">
        <v>3</v>
      </c>
      <c r="B28" t="s">
        <v>40</v>
      </c>
    </row>
    <row r="29" spans="1:2">
      <c r="A29" s="43" t="s">
        <v>38</v>
      </c>
      <c r="B29" t="str">
        <f>_xlfn.TEXTJOIN(" ",TRUE,C5,E5)</f>
        <v>apple North</v>
      </c>
    </row>
    <row r="31" spans="1:2">
      <c r="A31">
        <v>4</v>
      </c>
      <c r="B31" t="s">
        <v>41</v>
      </c>
    </row>
    <row r="32" spans="1:2">
      <c r="A32" s="43" t="s">
        <v>38</v>
      </c>
      <c r="B32">
        <f>COUNTIF(C4:C12,"Apple")</f>
        <v>4</v>
      </c>
    </row>
    <row r="34" spans="1:4">
      <c r="A34">
        <v>5</v>
      </c>
      <c r="B34" t="s">
        <v>42</v>
      </c>
    </row>
    <row r="35" spans="1:4">
      <c r="B35" s="46">
        <f>VALUE(SUBSTITUTE(D4,"",""))</f>
        <v>200</v>
      </c>
    </row>
    <row r="36" spans="1:4">
      <c r="B36" s="46">
        <f>VALUE(SUBSTITUTE(D5,"",""))</f>
        <v>200</v>
      </c>
    </row>
    <row r="37" spans="1:4">
      <c r="B37" s="46">
        <f>VALUE(SUBSTITUTE(D6,"",""))</f>
        <v>300</v>
      </c>
    </row>
    <row r="38" spans="1:4">
      <c r="B38" s="46">
        <f>VALUE(SUBSTITUTE(D7,"",""))</f>
        <v>300</v>
      </c>
    </row>
    <row r="39" spans="1:4">
      <c r="B39" s="46">
        <f>VALUE(SUBSTITUTE(D8,"",""))</f>
        <v>150</v>
      </c>
    </row>
    <row r="40" spans="1:4">
      <c r="B40" s="46">
        <f>VALUE(SUBSTITUTE(D9,"",""))</f>
        <v>150</v>
      </c>
    </row>
    <row r="41" spans="1:4">
      <c r="B41" s="46">
        <f>VALUE(SUBSTITUTE(D10,"",""))</f>
        <v>400</v>
      </c>
    </row>
    <row r="42" spans="1:4">
      <c r="B42" s="46">
        <f>VALUE(SUBSTITUTE(D11,"",""))</f>
        <v>350</v>
      </c>
    </row>
    <row r="43" spans="1:4">
      <c r="B43" s="46">
        <f>VALUE(SUBSTITUTE(D12,"",""))</f>
        <v>500</v>
      </c>
    </row>
    <row r="46" spans="1:4">
      <c r="A46">
        <v>6</v>
      </c>
      <c r="B46" t="s">
        <v>43</v>
      </c>
    </row>
    <row r="47" spans="1:4">
      <c r="A47" s="43" t="s">
        <v>38</v>
      </c>
      <c r="B47" s="45">
        <f>AVERAGEIF(C4:C12,"Apple",B35:B43)</f>
        <v>325</v>
      </c>
      <c r="C47" s="63"/>
      <c r="D47" s="63"/>
    </row>
    <row r="49" spans="1:2">
      <c r="A49">
        <v>7</v>
      </c>
    </row>
    <row r="50" spans="1:2">
      <c r="B50" t="str">
        <f>IF(B35&gt;300,"high","low")</f>
        <v>low</v>
      </c>
    </row>
    <row r="51" spans="1:2">
      <c r="B51" t="str">
        <f t="shared" ref="B51:B63" si="0">IF(B36&gt;300,"high","low")</f>
        <v>low</v>
      </c>
    </row>
    <row r="52" spans="1:2">
      <c r="B52" t="str">
        <f t="shared" si="0"/>
        <v>low</v>
      </c>
    </row>
    <row r="53" spans="1:2">
      <c r="B53" t="str">
        <f t="shared" si="0"/>
        <v>low</v>
      </c>
    </row>
    <row r="54" spans="1:2">
      <c r="B54" t="str">
        <f t="shared" si="0"/>
        <v>low</v>
      </c>
    </row>
    <row r="55" spans="1:2">
      <c r="B55" t="str">
        <f t="shared" si="0"/>
        <v>low</v>
      </c>
    </row>
    <row r="56" spans="1:2">
      <c r="B56" t="str">
        <f>IF(B41&gt;300,"high","low")</f>
        <v>high</v>
      </c>
    </row>
    <row r="57" spans="1:2">
      <c r="B57" t="str">
        <f t="shared" si="0"/>
        <v>high</v>
      </c>
    </row>
    <row r="58" spans="1:2">
      <c r="B58" t="str">
        <f t="shared" si="0"/>
        <v>high</v>
      </c>
    </row>
    <row r="60" spans="1:2" ht="53.25">
      <c r="A60" s="43" t="s">
        <v>44</v>
      </c>
      <c r="B60" s="47" t="s">
        <v>45</v>
      </c>
    </row>
    <row r="61" spans="1:2" ht="30.75">
      <c r="A61" s="43" t="s">
        <v>38</v>
      </c>
      <c r="B61" s="13" t="s">
        <v>46</v>
      </c>
    </row>
    <row r="63" spans="1:2" ht="30.75">
      <c r="A63">
        <v>9</v>
      </c>
      <c r="B63" s="13" t="s">
        <v>47</v>
      </c>
    </row>
    <row r="64" spans="1:2">
      <c r="B64" s="46">
        <v>200</v>
      </c>
    </row>
    <row r="65" spans="2:2">
      <c r="B65" s="46">
        <v>200</v>
      </c>
    </row>
    <row r="66" spans="2:2">
      <c r="B66" s="46">
        <v>300</v>
      </c>
    </row>
    <row r="67" spans="2:2">
      <c r="B67" s="46">
        <v>300</v>
      </c>
    </row>
    <row r="68" spans="2:2">
      <c r="B68" s="46">
        <v>150</v>
      </c>
    </row>
    <row r="69" spans="2:2">
      <c r="B69" s="46">
        <v>150</v>
      </c>
    </row>
    <row r="70" spans="2:2">
      <c r="B70" s="46">
        <v>400</v>
      </c>
    </row>
    <row r="71" spans="2:2">
      <c r="B71" s="46">
        <v>350</v>
      </c>
    </row>
    <row r="72" spans="2:2">
      <c r="B72" s="46">
        <v>500</v>
      </c>
    </row>
    <row r="73" spans="2:2">
      <c r="B73" s="46"/>
    </row>
  </sheetData>
  <mergeCells count="1">
    <mergeCell ref="A2:E2"/>
  </mergeCells>
  <conditionalFormatting sqref="B64:B7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{2C9A66BB-FCFD-45C3-8C98-B241B14E6156}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9A66BB-FCFD-45C3-8C98-B241B14E6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B64:B72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15541-688E-47D9-BE04-540BF3CE8E1A}">
  <dimension ref="A1:P27"/>
  <sheetViews>
    <sheetView tabSelected="1" topLeftCell="F7" workbookViewId="0">
      <selection activeCell="Q3" sqref="Q3"/>
    </sheetView>
  </sheetViews>
  <sheetFormatPr defaultRowHeight="15"/>
  <cols>
    <col min="1" max="1" width="18.28515625" style="69" customWidth="1"/>
    <col min="2" max="2" width="10.28515625" bestFit="1" customWidth="1"/>
    <col min="3" max="3" width="11.5703125" bestFit="1" customWidth="1"/>
    <col min="5" max="5" width="16.42578125" style="48" bestFit="1" customWidth="1"/>
    <col min="6" max="6" width="36.5703125" style="48" bestFit="1" customWidth="1"/>
    <col min="7" max="7" width="9.140625" style="48"/>
    <col min="8" max="8" width="15.28515625" bestFit="1" customWidth="1"/>
    <col min="9" max="9" width="11.7109375" bestFit="1" customWidth="1"/>
    <col min="10" max="15" width="9" bestFit="1" customWidth="1"/>
    <col min="16" max="16" width="11.42578125" bestFit="1" customWidth="1"/>
    <col min="17" max="17" width="31.28515625" bestFit="1" customWidth="1"/>
  </cols>
  <sheetData>
    <row r="1" spans="1:16">
      <c r="A1" s="72" t="s">
        <v>48</v>
      </c>
      <c r="B1" s="73"/>
      <c r="C1" s="73"/>
      <c r="D1" s="73"/>
      <c r="E1" s="73"/>
      <c r="F1" s="73"/>
      <c r="G1" s="74"/>
    </row>
    <row r="2" spans="1:16">
      <c r="A2" s="75"/>
      <c r="B2" s="76"/>
      <c r="C2" s="76"/>
      <c r="D2" s="76"/>
      <c r="E2" s="76"/>
      <c r="F2" s="76"/>
      <c r="G2" s="77"/>
    </row>
    <row r="3" spans="1:16">
      <c r="A3" s="65" t="s">
        <v>13</v>
      </c>
      <c r="B3" s="52" t="s">
        <v>14</v>
      </c>
      <c r="C3" s="52" t="s">
        <v>49</v>
      </c>
      <c r="D3" s="52" t="s">
        <v>16</v>
      </c>
      <c r="E3" s="59" t="s">
        <v>50</v>
      </c>
      <c r="F3" s="59" t="s">
        <v>51</v>
      </c>
      <c r="G3" s="51" t="s">
        <v>52</v>
      </c>
    </row>
    <row r="4" spans="1:16">
      <c r="A4" s="66">
        <v>45839</v>
      </c>
      <c r="B4" s="53" t="s">
        <v>53</v>
      </c>
      <c r="C4" s="53" t="s">
        <v>54</v>
      </c>
      <c r="D4" s="53" t="s">
        <v>20</v>
      </c>
      <c r="E4" s="60">
        <v>75000</v>
      </c>
      <c r="F4" s="56">
        <v>55000</v>
      </c>
      <c r="G4" s="49">
        <f>VALUE(E4) - VALUE(F4)</f>
        <v>20000</v>
      </c>
      <c r="H4" s="22" t="s">
        <v>55</v>
      </c>
      <c r="I4" s="22" t="s">
        <v>50</v>
      </c>
    </row>
    <row r="5" spans="1:16">
      <c r="A5" s="67">
        <v>45840</v>
      </c>
      <c r="B5" s="54" t="s">
        <v>56</v>
      </c>
      <c r="C5" s="54" t="s">
        <v>54</v>
      </c>
      <c r="D5" s="54" t="s">
        <v>30</v>
      </c>
      <c r="E5" s="61">
        <v>40000</v>
      </c>
      <c r="F5" s="57">
        <v>30000</v>
      </c>
      <c r="G5" s="49">
        <f t="shared" ref="G5:G10" si="0">VALUE(E5) - VALUE(F5)</f>
        <v>10000</v>
      </c>
      <c r="H5" s="22" t="s">
        <v>49</v>
      </c>
      <c r="I5" s="48">
        <v>12000</v>
      </c>
      <c r="J5" s="48">
        <v>15000</v>
      </c>
      <c r="K5" s="48">
        <v>18000</v>
      </c>
      <c r="L5" s="48">
        <v>40000</v>
      </c>
      <c r="M5" s="48">
        <v>42000</v>
      </c>
      <c r="N5" s="48">
        <v>75000</v>
      </c>
      <c r="O5" s="48">
        <v>80000</v>
      </c>
      <c r="P5" s="48" t="s">
        <v>57</v>
      </c>
    </row>
    <row r="6" spans="1:16">
      <c r="A6" s="67">
        <v>45841</v>
      </c>
      <c r="B6" s="54" t="s">
        <v>58</v>
      </c>
      <c r="C6" s="54" t="s">
        <v>59</v>
      </c>
      <c r="D6" s="54" t="s">
        <v>34</v>
      </c>
      <c r="E6" s="61">
        <v>15000</v>
      </c>
      <c r="F6" s="57">
        <v>8000</v>
      </c>
      <c r="G6" s="49">
        <f t="shared" si="0"/>
        <v>7000</v>
      </c>
      <c r="H6" t="s">
        <v>60</v>
      </c>
      <c r="I6" s="48">
        <v>12000</v>
      </c>
      <c r="J6" s="48"/>
      <c r="K6" s="48"/>
      <c r="L6" s="48"/>
      <c r="M6" s="48"/>
      <c r="N6" s="48"/>
      <c r="O6" s="48"/>
      <c r="P6" s="48">
        <v>12000</v>
      </c>
    </row>
    <row r="7" spans="1:16">
      <c r="A7" s="67">
        <v>45842</v>
      </c>
      <c r="B7" s="54" t="s">
        <v>61</v>
      </c>
      <c r="C7" s="54" t="s">
        <v>60</v>
      </c>
      <c r="D7" s="54" t="s">
        <v>26</v>
      </c>
      <c r="E7" s="61">
        <v>12000</v>
      </c>
      <c r="F7" s="57">
        <v>7000</v>
      </c>
      <c r="G7" s="49">
        <f t="shared" si="0"/>
        <v>5000</v>
      </c>
      <c r="H7" t="s">
        <v>54</v>
      </c>
      <c r="I7" s="48"/>
      <c r="J7" s="48"/>
      <c r="K7" s="48"/>
      <c r="L7" s="48">
        <v>40000</v>
      </c>
      <c r="M7" s="48">
        <v>42000</v>
      </c>
      <c r="N7" s="48">
        <v>75000</v>
      </c>
      <c r="O7" s="48">
        <v>80000</v>
      </c>
      <c r="P7" s="48">
        <v>237000</v>
      </c>
    </row>
    <row r="8" spans="1:16">
      <c r="A8" s="67">
        <v>45843</v>
      </c>
      <c r="B8" s="54" t="s">
        <v>53</v>
      </c>
      <c r="C8" s="54" t="s">
        <v>54</v>
      </c>
      <c r="D8" s="54" t="s">
        <v>34</v>
      </c>
      <c r="E8" s="61">
        <v>80000</v>
      </c>
      <c r="F8" s="57">
        <v>60000</v>
      </c>
      <c r="G8" s="49">
        <f t="shared" si="0"/>
        <v>20000</v>
      </c>
      <c r="H8" t="s">
        <v>59</v>
      </c>
      <c r="I8" s="48"/>
      <c r="J8" s="48">
        <v>15000</v>
      </c>
      <c r="K8" s="48">
        <v>18000</v>
      </c>
      <c r="L8" s="48"/>
      <c r="M8" s="48"/>
      <c r="N8" s="48"/>
      <c r="O8" s="48"/>
      <c r="P8" s="48">
        <v>33000</v>
      </c>
    </row>
    <row r="9" spans="1:16">
      <c r="A9" s="67">
        <v>45844</v>
      </c>
      <c r="B9" s="54" t="s">
        <v>56</v>
      </c>
      <c r="C9" s="54" t="s">
        <v>54</v>
      </c>
      <c r="D9" s="54" t="s">
        <v>20</v>
      </c>
      <c r="E9" s="61">
        <v>42000</v>
      </c>
      <c r="F9" s="57">
        <v>31000</v>
      </c>
      <c r="G9" s="49">
        <f t="shared" si="0"/>
        <v>11000</v>
      </c>
      <c r="H9" t="s">
        <v>57</v>
      </c>
      <c r="I9" s="48">
        <v>12000</v>
      </c>
      <c r="J9" s="48">
        <v>15000</v>
      </c>
      <c r="K9" s="48">
        <v>18000</v>
      </c>
      <c r="L9" s="48">
        <v>40000</v>
      </c>
      <c r="M9" s="48">
        <v>42000</v>
      </c>
      <c r="N9" s="48">
        <v>75000</v>
      </c>
      <c r="O9" s="48">
        <v>80000</v>
      </c>
      <c r="P9" s="48">
        <v>282000</v>
      </c>
    </row>
    <row r="10" spans="1:16">
      <c r="A10" s="68">
        <v>45845</v>
      </c>
      <c r="B10" s="55" t="s">
        <v>58</v>
      </c>
      <c r="C10" s="55" t="s">
        <v>59</v>
      </c>
      <c r="D10" s="55" t="s">
        <v>30</v>
      </c>
      <c r="E10" s="62">
        <v>18000</v>
      </c>
      <c r="F10" s="58">
        <v>9000</v>
      </c>
      <c r="G10" s="50">
        <f t="shared" si="0"/>
        <v>9000</v>
      </c>
    </row>
    <row r="13" spans="1:16">
      <c r="A13" s="78" t="s">
        <v>62</v>
      </c>
      <c r="B13" s="78"/>
      <c r="C13" s="78"/>
      <c r="D13" s="78"/>
      <c r="E13" s="78"/>
      <c r="F13" s="78"/>
      <c r="G13" s="78"/>
    </row>
    <row r="14" spans="1:16">
      <c r="A14" s="71" t="s">
        <v>63</v>
      </c>
      <c r="B14" s="71"/>
      <c r="C14" s="71"/>
      <c r="D14" s="71"/>
      <c r="E14" s="44" t="s">
        <v>38</v>
      </c>
      <c r="F14" s="48">
        <f>SUMIF(C4:C10,"Electronics",E4:E10)</f>
        <v>237000</v>
      </c>
    </row>
    <row r="15" spans="1:16">
      <c r="A15" s="71" t="s">
        <v>64</v>
      </c>
      <c r="B15" s="71"/>
      <c r="C15" s="71"/>
      <c r="D15" s="71"/>
      <c r="E15" s="44" t="s">
        <v>38</v>
      </c>
      <c r="F15" s="48">
        <f>SUMIF(C4:C10,"Fashion",E4:E10)</f>
        <v>33000</v>
      </c>
    </row>
    <row r="16" spans="1:16">
      <c r="A16" s="71" t="s">
        <v>65</v>
      </c>
      <c r="B16" s="71"/>
      <c r="C16" s="71"/>
      <c r="D16" s="71"/>
      <c r="E16" s="44" t="s">
        <v>38</v>
      </c>
      <c r="F16" s="48">
        <f ca="1">SUMIF(C4:C11,"Accessories",E4:E10)</f>
        <v>12000</v>
      </c>
    </row>
    <row r="17" spans="1:6">
      <c r="E17" s="44"/>
    </row>
    <row r="18" spans="1:6">
      <c r="A18" s="71" t="s">
        <v>66</v>
      </c>
      <c r="B18" s="71"/>
      <c r="C18" s="71"/>
      <c r="D18" s="71"/>
      <c r="E18" s="44" t="s">
        <v>38</v>
      </c>
      <c r="F18" s="48">
        <f>SUMIF(C4:C10,"Electronics",G4:G10)</f>
        <v>61000</v>
      </c>
    </row>
    <row r="19" spans="1:6">
      <c r="A19" s="71" t="s">
        <v>67</v>
      </c>
      <c r="B19" s="71"/>
      <c r="C19" s="71"/>
      <c r="D19" s="71"/>
      <c r="E19" s="44" t="s">
        <v>38</v>
      </c>
      <c r="F19" s="48">
        <f>SUMIF(C4:C10,"Fashion",G4:G10)</f>
        <v>16000</v>
      </c>
    </row>
    <row r="20" spans="1:6">
      <c r="A20" s="71" t="s">
        <v>68</v>
      </c>
      <c r="B20" s="71"/>
      <c r="C20" s="71"/>
      <c r="D20" s="71"/>
      <c r="E20" s="44" t="s">
        <v>38</v>
      </c>
      <c r="F20" s="48">
        <f>SUMIF(C4:C10,"Accessories",G4:G10)</f>
        <v>5000</v>
      </c>
    </row>
    <row r="21" spans="1:6">
      <c r="E21" s="44"/>
    </row>
    <row r="22" spans="1:6">
      <c r="E22" s="44"/>
    </row>
    <row r="23" spans="1:6">
      <c r="A23" s="71" t="s">
        <v>69</v>
      </c>
      <c r="B23" s="71"/>
      <c r="C23" s="71"/>
      <c r="D23" s="71"/>
      <c r="E23" s="44" t="s">
        <v>38</v>
      </c>
      <c r="F23" s="48" t="str">
        <f ca="1">INDEX(C4:C10,MATCH( MAX(F14:F16),F14:F16,0))</f>
        <v>Electronics</v>
      </c>
    </row>
    <row r="24" spans="1:6">
      <c r="A24" s="71" t="s">
        <v>70</v>
      </c>
      <c r="B24" s="71"/>
      <c r="C24" s="71"/>
      <c r="D24" s="71"/>
      <c r="E24" s="44" t="s">
        <v>38</v>
      </c>
      <c r="F24" s="36" t="str">
        <f ca="1">INDEX(C4:C11,MATCH( MIN(F14:F17),F14:F17,0))</f>
        <v>Fashion</v>
      </c>
    </row>
    <row r="25" spans="1:6">
      <c r="E25" s="44"/>
    </row>
    <row r="26" spans="1:6">
      <c r="E26" s="44"/>
    </row>
    <row r="27" spans="1:6">
      <c r="A27" s="71" t="s">
        <v>71</v>
      </c>
      <c r="B27" s="71"/>
      <c r="C27" s="71"/>
      <c r="D27" s="71"/>
      <c r="E27" s="44" t="s">
        <v>38</v>
      </c>
      <c r="F27" s="64">
        <f>INDEX(A4:A10, MATCH(MAX(E4:E10), E4:E10, 0))</f>
        <v>45843</v>
      </c>
    </row>
  </sheetData>
  <mergeCells count="11">
    <mergeCell ref="A27:D27"/>
    <mergeCell ref="A1:G2"/>
    <mergeCell ref="A13:G13"/>
    <mergeCell ref="A14:D14"/>
    <mergeCell ref="A15:D15"/>
    <mergeCell ref="A16:D16"/>
    <mergeCell ref="A18:D18"/>
    <mergeCell ref="A19:D19"/>
    <mergeCell ref="A20:D20"/>
    <mergeCell ref="A23:D23"/>
    <mergeCell ref="A24:D2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6A7F-9A5F-4117-A0FB-86C7C14EEDC7}">
  <dimension ref="A2:B5"/>
  <sheetViews>
    <sheetView workbookViewId="0">
      <selection activeCell="D7" sqref="D7"/>
    </sheetView>
  </sheetViews>
  <sheetFormatPr defaultRowHeight="15"/>
  <sheetData>
    <row r="2" spans="1:2">
      <c r="A2" s="14" t="s">
        <v>0</v>
      </c>
      <c r="B2" s="18" t="s">
        <v>5</v>
      </c>
    </row>
    <row r="3" spans="1:2">
      <c r="A3" s="15" t="s">
        <v>7</v>
      </c>
      <c r="B3" s="19">
        <v>6000</v>
      </c>
    </row>
    <row r="4" spans="1:2">
      <c r="A4" s="16" t="s">
        <v>8</v>
      </c>
      <c r="B4" s="20">
        <v>12000</v>
      </c>
    </row>
    <row r="5" spans="1:2">
      <c r="A5" s="17" t="s">
        <v>9</v>
      </c>
      <c r="B5" s="21">
        <v>20000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818F-59F6-4852-8E99-658DD4D75EA5}">
  <dimension ref="A1:P24"/>
  <sheetViews>
    <sheetView topLeftCell="A5" workbookViewId="0">
      <selection activeCell="E22" sqref="E22"/>
    </sheetView>
  </sheetViews>
  <sheetFormatPr defaultRowHeight="15"/>
  <cols>
    <col min="1" max="1" width="32.5703125" bestFit="1" customWidth="1"/>
    <col min="5" max="5" width="32" bestFit="1" customWidth="1"/>
    <col min="6" max="6" width="9.5703125" bestFit="1" customWidth="1"/>
    <col min="8" max="8" width="9" bestFit="1" customWidth="1"/>
    <col min="9" max="9" width="12.7109375" bestFit="1" customWidth="1"/>
    <col min="10" max="10" width="11.7109375" bestFit="1" customWidth="1"/>
    <col min="11" max="11" width="15.7109375" bestFit="1" customWidth="1"/>
    <col min="12" max="12" width="14.85546875" bestFit="1" customWidth="1"/>
    <col min="13" max="13" width="11.7109375" bestFit="1" customWidth="1"/>
    <col min="14" max="15" width="5.85546875" bestFit="1" customWidth="1"/>
    <col min="16" max="16" width="6.28515625" bestFit="1" customWidth="1"/>
    <col min="17" max="17" width="15.7109375" bestFit="1" customWidth="1"/>
    <col min="18" max="19" width="5.140625" bestFit="1" customWidth="1"/>
    <col min="20" max="20" width="6.28515625" bestFit="1" customWidth="1"/>
    <col min="21" max="21" width="14.85546875" bestFit="1" customWidth="1"/>
    <col min="22" max="23" width="5.140625" bestFit="1" customWidth="1"/>
    <col min="24" max="24" width="6.28515625" bestFit="1" customWidth="1"/>
    <col min="25" max="25" width="17.5703125" bestFit="1" customWidth="1"/>
    <col min="26" max="26" width="16.5703125" bestFit="1" customWidth="1"/>
    <col min="27" max="27" width="11.28515625" bestFit="1" customWidth="1"/>
  </cols>
  <sheetData>
    <row r="1" spans="1:16" ht="15" customHeight="1">
      <c r="A1" s="79" t="s">
        <v>72</v>
      </c>
      <c r="B1" s="80"/>
      <c r="C1" s="80"/>
      <c r="D1" s="80"/>
      <c r="E1" s="80"/>
      <c r="F1" s="81"/>
      <c r="H1" s="22" t="s">
        <v>73</v>
      </c>
      <c r="I1" t="s">
        <v>74</v>
      </c>
    </row>
    <row r="2" spans="1:16">
      <c r="A2" s="82"/>
      <c r="B2" s="83"/>
      <c r="C2" s="83"/>
      <c r="D2" s="83"/>
      <c r="E2" s="83"/>
      <c r="F2" s="84"/>
    </row>
    <row r="3" spans="1:16" ht="15" customHeight="1">
      <c r="A3" s="31" t="s">
        <v>13</v>
      </c>
      <c r="B3" s="25" t="s">
        <v>75</v>
      </c>
      <c r="C3" s="25" t="s">
        <v>76</v>
      </c>
      <c r="D3" s="26" t="s">
        <v>77</v>
      </c>
      <c r="E3" s="25" t="s">
        <v>73</v>
      </c>
      <c r="F3" s="32" t="s">
        <v>78</v>
      </c>
      <c r="H3" s="22" t="s">
        <v>13</v>
      </c>
      <c r="I3" t="s">
        <v>79</v>
      </c>
      <c r="J3" t="s">
        <v>80</v>
      </c>
      <c r="K3" t="s">
        <v>81</v>
      </c>
      <c r="L3" t="s">
        <v>82</v>
      </c>
      <c r="N3" s="25"/>
      <c r="O3" s="25"/>
      <c r="P3" s="26"/>
    </row>
    <row r="4" spans="1:16" ht="15.75">
      <c r="A4" s="33">
        <v>46204</v>
      </c>
      <c r="B4" s="27">
        <v>4000</v>
      </c>
      <c r="C4" s="28">
        <v>500</v>
      </c>
      <c r="D4" s="29">
        <v>500</v>
      </c>
      <c r="E4" s="27">
        <f>SUM(B4,C4,D4)</f>
        <v>5000</v>
      </c>
      <c r="F4" s="34">
        <f>AVERAGE(B4,C4,D4)</f>
        <v>1666.6666666666667</v>
      </c>
      <c r="H4" s="37">
        <v>11141</v>
      </c>
      <c r="I4" s="36">
        <v>400</v>
      </c>
      <c r="J4" s="36">
        <v>800</v>
      </c>
      <c r="K4" s="36">
        <v>3000</v>
      </c>
      <c r="L4" s="36">
        <v>4200</v>
      </c>
      <c r="N4" s="40"/>
      <c r="O4" s="40"/>
      <c r="P4" s="40"/>
    </row>
    <row r="5" spans="1:16" ht="15.75">
      <c r="A5" s="33">
        <v>11141</v>
      </c>
      <c r="B5" s="27">
        <v>400</v>
      </c>
      <c r="C5" s="27">
        <v>800</v>
      </c>
      <c r="D5" s="30">
        <v>3000</v>
      </c>
      <c r="E5" s="27">
        <f t="shared" ref="E5:E8" si="0">SUM(B5,C5,D5)</f>
        <v>4200</v>
      </c>
      <c r="F5" s="34">
        <f t="shared" ref="F5:F9" si="1">AVERAGE(B5,C5,D5)</f>
        <v>1400</v>
      </c>
      <c r="H5" s="37">
        <v>11142</v>
      </c>
      <c r="I5" s="36">
        <v>500</v>
      </c>
      <c r="J5" s="36">
        <v>950</v>
      </c>
      <c r="K5" s="36">
        <v>4500</v>
      </c>
      <c r="L5" s="36">
        <v>5950</v>
      </c>
    </row>
    <row r="6" spans="1:16" ht="15.75">
      <c r="A6" s="33">
        <v>11142</v>
      </c>
      <c r="B6" s="27">
        <v>500</v>
      </c>
      <c r="C6" s="27">
        <v>950</v>
      </c>
      <c r="D6" s="30">
        <v>4500</v>
      </c>
      <c r="E6" s="27">
        <f t="shared" si="0"/>
        <v>5950</v>
      </c>
      <c r="F6" s="34">
        <f t="shared" si="1"/>
        <v>1983.3333333333333</v>
      </c>
      <c r="H6" s="37">
        <v>11143</v>
      </c>
      <c r="I6" s="36">
        <v>400</v>
      </c>
      <c r="J6" s="36">
        <v>750</v>
      </c>
      <c r="K6" s="36">
        <v>3500</v>
      </c>
      <c r="L6" s="36">
        <v>4650</v>
      </c>
    </row>
    <row r="7" spans="1:16" ht="15.75">
      <c r="A7" s="33">
        <v>11143</v>
      </c>
      <c r="B7" s="27">
        <v>400</v>
      </c>
      <c r="C7" s="27">
        <v>750</v>
      </c>
      <c r="D7" s="30">
        <v>3500</v>
      </c>
      <c r="E7" s="27">
        <f t="shared" si="0"/>
        <v>4650</v>
      </c>
      <c r="F7" s="34">
        <f t="shared" si="1"/>
        <v>1550</v>
      </c>
      <c r="H7" s="37">
        <v>11144</v>
      </c>
      <c r="I7" s="36">
        <v>4000</v>
      </c>
      <c r="J7" s="36">
        <v>500</v>
      </c>
      <c r="K7" s="36">
        <v>1500</v>
      </c>
      <c r="L7" s="36">
        <v>6000</v>
      </c>
    </row>
    <row r="8" spans="1:16" ht="15.75">
      <c r="A8" s="33">
        <v>11144</v>
      </c>
      <c r="B8" s="27">
        <v>4000</v>
      </c>
      <c r="C8" s="28">
        <v>500</v>
      </c>
      <c r="D8" s="30">
        <v>1500</v>
      </c>
      <c r="E8" s="27">
        <f t="shared" si="0"/>
        <v>6000</v>
      </c>
      <c r="F8" s="34">
        <f t="shared" si="1"/>
        <v>2000</v>
      </c>
      <c r="H8" s="37">
        <v>46204</v>
      </c>
      <c r="I8" s="36">
        <v>4000</v>
      </c>
      <c r="J8" s="36">
        <v>500</v>
      </c>
      <c r="K8" s="36">
        <v>500</v>
      </c>
      <c r="L8" s="36">
        <v>5000</v>
      </c>
    </row>
    <row r="9" spans="1:16">
      <c r="A9" s="24" t="s">
        <v>83</v>
      </c>
      <c r="B9" s="23">
        <f>SUM(B4:B8)</f>
        <v>9300</v>
      </c>
      <c r="C9" s="23">
        <f>SUM(C4:C8)</f>
        <v>3500</v>
      </c>
      <c r="D9" s="23">
        <f>SUM(D4:D8)</f>
        <v>13000</v>
      </c>
      <c r="E9" s="23">
        <f>SUM(E4:E8)</f>
        <v>25800</v>
      </c>
      <c r="F9" s="23">
        <f t="shared" si="1"/>
        <v>8600</v>
      </c>
    </row>
    <row r="12" spans="1:16">
      <c r="A12" s="85" t="s">
        <v>84</v>
      </c>
      <c r="B12" s="86"/>
      <c r="C12" s="86"/>
      <c r="D12" s="86"/>
      <c r="E12" s="86"/>
      <c r="F12" s="86"/>
    </row>
    <row r="13" spans="1:16">
      <c r="A13" s="86"/>
      <c r="B13" s="86"/>
      <c r="C13" s="86"/>
      <c r="D13" s="86"/>
      <c r="E13" s="86"/>
      <c r="F13" s="86"/>
    </row>
    <row r="14" spans="1:16">
      <c r="A14" s="63" t="s">
        <v>85</v>
      </c>
      <c r="B14" s="63"/>
      <c r="C14" s="63" t="s">
        <v>38</v>
      </c>
      <c r="E14" s="63" t="str">
        <f>_xlfn.XLOOKUP(MAX(B9:D9),B9:D9,B3:D3)</f>
        <v>shopping</v>
      </c>
    </row>
    <row r="15" spans="1:16">
      <c r="A15" s="63" t="s">
        <v>86</v>
      </c>
      <c r="B15" s="63"/>
      <c r="C15" s="63" t="s">
        <v>38</v>
      </c>
      <c r="E15" s="38">
        <f>_xlfn.XLOOKUP(MAX(E4:E8),E4:E8,A4:A8)</f>
        <v>11144</v>
      </c>
    </row>
    <row r="16" spans="1:16">
      <c r="A16" s="63" t="s">
        <v>87</v>
      </c>
      <c r="B16" s="63"/>
      <c r="C16" s="63" t="s">
        <v>38</v>
      </c>
      <c r="E16" s="38">
        <f>_xlfn.XLOOKUP(MIN(E4:E8),E4:E8,A4:A8)</f>
        <v>11141</v>
      </c>
    </row>
    <row r="17" spans="1:5">
      <c r="A17" s="63" t="s">
        <v>88</v>
      </c>
      <c r="B17" s="63"/>
      <c r="C17" s="63" t="s">
        <v>38</v>
      </c>
      <c r="E17" s="63">
        <f>E9</f>
        <v>25800</v>
      </c>
    </row>
    <row r="18" spans="1:5">
      <c r="A18" s="63" t="s">
        <v>89</v>
      </c>
      <c r="B18" s="63"/>
      <c r="C18" s="63" t="s">
        <v>38</v>
      </c>
      <c r="E18" s="63">
        <f>AVERAGE(E4:E8)</f>
        <v>5160</v>
      </c>
    </row>
    <row r="19" spans="1:5">
      <c r="A19" s="63" t="s">
        <v>90</v>
      </c>
      <c r="B19" s="63"/>
      <c r="C19" s="63" t="s">
        <v>38</v>
      </c>
      <c r="E19" s="63">
        <f>B9/E9*100</f>
        <v>36.046511627906973</v>
      </c>
    </row>
    <row r="20" spans="1:5">
      <c r="A20" s="63" t="s">
        <v>91</v>
      </c>
      <c r="B20" s="63"/>
      <c r="C20" s="63" t="s">
        <v>38</v>
      </c>
      <c r="E20" s="63">
        <f>C9/E9*100</f>
        <v>13.565891472868216</v>
      </c>
    </row>
    <row r="21" spans="1:5">
      <c r="A21" s="63" t="s">
        <v>92</v>
      </c>
      <c r="B21" s="63"/>
      <c r="C21" s="63" t="s">
        <v>38</v>
      </c>
      <c r="E21" s="39">
        <f>D9/E9*100</f>
        <v>50.387596899224803</v>
      </c>
    </row>
    <row r="22" spans="1:5">
      <c r="A22" s="35" t="s">
        <v>93</v>
      </c>
      <c r="B22" s="35"/>
      <c r="C22" s="63" t="s">
        <v>38</v>
      </c>
      <c r="E22" s="63" t="str">
        <f>_xlfn.XLOOKUP(MAX(B9:D9),B9:D9,B3:D3)</f>
        <v>shopping</v>
      </c>
    </row>
    <row r="23" spans="1:5">
      <c r="C23" s="63"/>
    </row>
    <row r="24" spans="1:5">
      <c r="C24" s="63"/>
    </row>
  </sheetData>
  <mergeCells count="2">
    <mergeCell ref="A1:F2"/>
    <mergeCell ref="A12:F1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Samyak .</cp:lastModifiedBy>
  <cp:revision/>
  <dcterms:created xsi:type="dcterms:W3CDTF">2026-03-02T13:57:50Z</dcterms:created>
  <dcterms:modified xsi:type="dcterms:W3CDTF">2026-03-23T18:49:18Z</dcterms:modified>
  <cp:category/>
  <cp:contentStatus/>
</cp:coreProperties>
</file>